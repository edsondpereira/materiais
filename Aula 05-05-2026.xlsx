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son.dpereira\Documents\Excel Básico ao Avançado 2026\"/>
    </mc:Choice>
  </mc:AlternateContent>
  <xr:revisionPtr revIDLastSave="0" documentId="8_{74120165-4B65-4A36-BC58-2289382EB77B}" xr6:coauthVersionLast="47" xr6:coauthVersionMax="47" xr10:uidLastSave="{00000000-0000-0000-0000-000000000000}"/>
  <bookViews>
    <workbookView xWindow="-120" yWindow="-120" windowWidth="29040" windowHeight="15720" activeTab="4" xr2:uid="{33ABA85A-4174-45C4-96DF-B2F2D93B0908}"/>
  </bookViews>
  <sheets>
    <sheet name="Formatação de Células" sheetId="1" r:id="rId1"/>
    <sheet name="Desconto 1" sheetId="2" r:id="rId2"/>
    <sheet name="Desconto 2" sheetId="3" r:id="rId3"/>
    <sheet name="Desconto 3" sheetId="4" r:id="rId4"/>
    <sheet name="Lista de Compr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2" i="4" l="1"/>
  <c r="E12" i="2"/>
  <c r="D12" i="2"/>
  <c r="C3" i="4"/>
  <c r="C4" i="4"/>
  <c r="C5" i="4"/>
  <c r="C6" i="4"/>
  <c r="C7" i="4"/>
  <c r="C8" i="4"/>
  <c r="C9" i="4"/>
  <c r="C10" i="4"/>
  <c r="C11" i="4"/>
  <c r="C2" i="4"/>
  <c r="D11" i="3"/>
  <c r="D10" i="3"/>
  <c r="D9" i="3"/>
  <c r="D8" i="3"/>
  <c r="D7" i="3"/>
  <c r="D6" i="3"/>
  <c r="D5" i="3"/>
  <c r="D4" i="3"/>
  <c r="D3" i="3"/>
  <c r="D2" i="3"/>
  <c r="D2" i="2"/>
  <c r="E2" i="2" s="1"/>
  <c r="D4" i="2"/>
  <c r="E4" i="2" s="1"/>
  <c r="D5" i="2"/>
  <c r="E5" i="2" s="1"/>
  <c r="D6" i="2"/>
  <c r="E6" i="2" s="1"/>
  <c r="D7" i="2"/>
  <c r="E7" i="2" s="1"/>
  <c r="D8" i="2"/>
  <c r="E8" i="2" s="1"/>
  <c r="D9" i="2"/>
  <c r="E9" i="2" s="1"/>
  <c r="D10" i="2"/>
  <c r="E10" i="2" s="1"/>
  <c r="D11" i="2"/>
  <c r="E11" i="2" s="1"/>
  <c r="D3" i="2"/>
  <c r="E3" i="2" s="1"/>
</calcChain>
</file>

<file path=xl/sharedStrings.xml><?xml version="1.0" encoding="utf-8"?>
<sst xmlns="http://schemas.openxmlformats.org/spreadsheetml/2006/main" count="103" uniqueCount="60">
  <si>
    <t>Formatação de Células</t>
  </si>
  <si>
    <t>Texto</t>
  </si>
  <si>
    <t>Número inteiro</t>
  </si>
  <si>
    <t>Moeda</t>
  </si>
  <si>
    <t>Contábil</t>
  </si>
  <si>
    <t>Data Abreviada</t>
  </si>
  <si>
    <t>Data Completa</t>
  </si>
  <si>
    <t>Maria da Silva</t>
  </si>
  <si>
    <t>José dos Santos</t>
  </si>
  <si>
    <t>Gabriel Prado</t>
  </si>
  <si>
    <t>01</t>
  </si>
  <si>
    <t>02</t>
  </si>
  <si>
    <t>03</t>
  </si>
  <si>
    <t>Produto</t>
  </si>
  <si>
    <t>Valor Unitário</t>
  </si>
  <si>
    <t>Desconto</t>
  </si>
  <si>
    <t>Valor do Desconto</t>
  </si>
  <si>
    <t>Total</t>
  </si>
  <si>
    <t>Bola de Futebol</t>
  </si>
  <si>
    <t>Bola de Basquete</t>
  </si>
  <si>
    <t>Raquete de Tênis</t>
  </si>
  <si>
    <t>Sapatilha</t>
  </si>
  <si>
    <t>Óculos de Mergulho</t>
  </si>
  <si>
    <t>Kit Escalada</t>
  </si>
  <si>
    <t>Jogo de Xadrez</t>
  </si>
  <si>
    <t>Corda</t>
  </si>
  <si>
    <t>Mochila de Camping</t>
  </si>
  <si>
    <t>Kit Esgrima</t>
  </si>
  <si>
    <t>% Desconto</t>
  </si>
  <si>
    <t>Lista de Compra</t>
  </si>
  <si>
    <t>Categoria</t>
  </si>
  <si>
    <t>Unidade</t>
  </si>
  <si>
    <t>Preço Unitário</t>
  </si>
  <si>
    <t>Qtde</t>
  </si>
  <si>
    <t>Total do Item</t>
  </si>
  <si>
    <t>Arroz</t>
  </si>
  <si>
    <t>Feijão</t>
  </si>
  <si>
    <t>Açúcar</t>
  </si>
  <si>
    <t>Café</t>
  </si>
  <si>
    <t>Farinha de Mandioca</t>
  </si>
  <si>
    <t>Ovos</t>
  </si>
  <si>
    <t>Óleo</t>
  </si>
  <si>
    <t>Leite</t>
  </si>
  <si>
    <t>Alvejante</t>
  </si>
  <si>
    <t>Sabão em pó</t>
  </si>
  <si>
    <t>Sabonete</t>
  </si>
  <si>
    <t>Creme dental</t>
  </si>
  <si>
    <t>Alimento</t>
  </si>
  <si>
    <t>Limpeza</t>
  </si>
  <si>
    <t>Higiene</t>
  </si>
  <si>
    <t>5kg</t>
  </si>
  <si>
    <t>1kg</t>
  </si>
  <si>
    <t>500g</t>
  </si>
  <si>
    <t>pct</t>
  </si>
  <si>
    <t>dz</t>
  </si>
  <si>
    <t>900 ml</t>
  </si>
  <si>
    <t>litro</t>
  </si>
  <si>
    <t>kg</t>
  </si>
  <si>
    <t>90g</t>
  </si>
  <si>
    <t>Álcool 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</si>
</sst>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&quot;R$&quot;\ #,##0.00"/>
    <numFmt numFmtId="165" formatCode="[$-F800]dddd\,\ mmmm\ dd\,\ yyyy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0" xfId="0" quotePrefix="1"/>
    <xf numFmtId="164" fontId="0" fillId="0" borderId="0" xfId="0" applyNumberFormat="1"/>
    <xf numFmtId="44" fontId="0" fillId="0" borderId="0" xfId="0" applyNumberFormat="1"/>
    <xf numFmtId="165" fontId="0" fillId="0" borderId="0" xfId="0" applyNumberFormat="1"/>
    <xf numFmtId="0" fontId="0" fillId="0" borderId="1" xfId="0" applyBorder="1"/>
    <xf numFmtId="44" fontId="0" fillId="0" borderId="1" xfId="1" applyFont="1" applyBorder="1"/>
    <xf numFmtId="9" fontId="0" fillId="0" borderId="1" xfId="0" applyNumberFormat="1" applyBorder="1"/>
    <xf numFmtId="0" fontId="1" fillId="3" borderId="1" xfId="3" applyBorder="1"/>
    <xf numFmtId="44" fontId="0" fillId="0" borderId="1" xfId="0" applyNumberFormat="1" applyBorder="1"/>
    <xf numFmtId="44" fontId="0" fillId="0" borderId="2" xfId="0" applyNumberFormat="1" applyBorder="1"/>
    <xf numFmtId="0" fontId="3" fillId="0" borderId="0" xfId="0" applyFont="1"/>
    <xf numFmtId="0" fontId="3" fillId="0" borderId="1" xfId="0" applyFont="1" applyBorder="1"/>
    <xf numFmtId="44" fontId="3" fillId="0" borderId="1" xfId="1" applyFont="1" applyBorder="1"/>
    <xf numFmtId="0" fontId="2" fillId="2" borderId="0" xfId="2" applyAlignment="1">
      <alignment horizontal="center"/>
    </xf>
    <xf numFmtId="0" fontId="0" fillId="0" borderId="0" xfId="0" applyAlignment="1">
      <alignment horizontal="center"/>
    </xf>
  </cellXfs>
  <cellStyles count="4">
    <cellStyle name="60% - Ênfase1" xfId="3" builtinId="32"/>
    <cellStyle name="Ênfase1" xfId="2" builtinId="29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77F06-C33D-4595-BFAF-B0D91AA39504}">
  <dimension ref="A1:G6"/>
  <sheetViews>
    <sheetView zoomScale="220" zoomScaleNormal="220" workbookViewId="0">
      <selection activeCell="G6" sqref="G6"/>
    </sheetView>
  </sheetViews>
  <sheetFormatPr defaultRowHeight="15" x14ac:dyDescent="0.25"/>
  <cols>
    <col min="1" max="1" width="22.140625" customWidth="1"/>
    <col min="3" max="3" width="13.42578125" customWidth="1"/>
    <col min="5" max="5" width="13.140625" customWidth="1"/>
    <col min="6" max="6" width="14.5703125" bestFit="1" customWidth="1"/>
    <col min="7" max="7" width="31" customWidth="1"/>
  </cols>
  <sheetData>
    <row r="1" spans="1:7" ht="19.5" customHeight="1" x14ac:dyDescent="0.25">
      <c r="A1" s="16" t="s">
        <v>0</v>
      </c>
      <c r="B1" s="16"/>
      <c r="C1" s="16"/>
      <c r="D1" s="16"/>
      <c r="E1" s="16"/>
      <c r="F1" s="16"/>
      <c r="G1" s="16"/>
    </row>
    <row r="3" spans="1:7" x14ac:dyDescent="0.25">
      <c r="A3" t="s">
        <v>1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7" x14ac:dyDescent="0.25">
      <c r="A4" s="1" t="s">
        <v>7</v>
      </c>
      <c r="B4" s="2" t="s">
        <v>10</v>
      </c>
      <c r="C4">
        <v>10</v>
      </c>
      <c r="D4" s="3">
        <v>10.25</v>
      </c>
      <c r="E4" s="4">
        <v>58.1</v>
      </c>
      <c r="F4" s="1">
        <v>46147</v>
      </c>
      <c r="G4" s="5">
        <v>31461</v>
      </c>
    </row>
    <row r="5" spans="1:7" x14ac:dyDescent="0.25">
      <c r="A5" t="s">
        <v>8</v>
      </c>
      <c r="B5" s="2" t="s">
        <v>11</v>
      </c>
      <c r="C5">
        <v>20</v>
      </c>
      <c r="D5" s="3">
        <v>36.1</v>
      </c>
      <c r="E5" s="4">
        <v>1.5</v>
      </c>
      <c r="F5" s="1">
        <v>46147</v>
      </c>
      <c r="G5" s="5">
        <v>46147</v>
      </c>
    </row>
    <row r="6" spans="1:7" x14ac:dyDescent="0.25">
      <c r="A6" t="s">
        <v>9</v>
      </c>
      <c r="B6" s="2" t="s">
        <v>12</v>
      </c>
      <c r="C6">
        <v>30</v>
      </c>
      <c r="D6" s="3">
        <v>21</v>
      </c>
      <c r="E6" s="4">
        <v>14</v>
      </c>
      <c r="F6" s="1">
        <v>46147</v>
      </c>
      <c r="G6" s="5">
        <v>46147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ignoredErrors>
    <ignoredError sqref="B4:B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C6541-D076-494F-8A53-D33FBEDCB692}">
  <dimension ref="A1:E12"/>
  <sheetViews>
    <sheetView showGridLines="0" zoomScale="240" zoomScaleNormal="240" workbookViewId="0">
      <selection activeCell="D12" sqref="D12"/>
    </sheetView>
  </sheetViews>
  <sheetFormatPr defaultRowHeight="15" x14ac:dyDescent="0.25"/>
  <cols>
    <col min="1" max="1" width="19.28515625" bestFit="1" customWidth="1"/>
    <col min="2" max="2" width="12.42578125" customWidth="1"/>
    <col min="4" max="4" width="17.42578125" bestFit="1" customWidth="1"/>
    <col min="5" max="5" width="10.7109375" bestFit="1" customWidth="1"/>
  </cols>
  <sheetData>
    <row r="1" spans="1:5" x14ac:dyDescent="0.25">
      <c r="A1" s="9" t="s">
        <v>13</v>
      </c>
      <c r="B1" s="9" t="s">
        <v>14</v>
      </c>
      <c r="C1" s="9" t="s">
        <v>15</v>
      </c>
      <c r="D1" s="9" t="s">
        <v>16</v>
      </c>
      <c r="E1" s="9" t="s">
        <v>17</v>
      </c>
    </row>
    <row r="2" spans="1:5" x14ac:dyDescent="0.25">
      <c r="A2" s="6" t="s">
        <v>18</v>
      </c>
      <c r="B2" s="7">
        <v>99.9</v>
      </c>
      <c r="C2" s="8">
        <v>0.1</v>
      </c>
      <c r="D2" s="10">
        <f>B2*C2</f>
        <v>9.990000000000002</v>
      </c>
      <c r="E2" s="10">
        <f>B2-D2</f>
        <v>89.91</v>
      </c>
    </row>
    <row r="3" spans="1:5" x14ac:dyDescent="0.25">
      <c r="A3" s="6" t="s">
        <v>19</v>
      </c>
      <c r="B3" s="7">
        <v>158.69999999999999</v>
      </c>
      <c r="C3" s="8">
        <v>0.1</v>
      </c>
      <c r="D3" s="10">
        <f>B3*C3</f>
        <v>15.87</v>
      </c>
      <c r="E3" s="10">
        <f t="shared" ref="E3:E11" si="0">B3-D3</f>
        <v>142.82999999999998</v>
      </c>
    </row>
    <row r="4" spans="1:5" x14ac:dyDescent="0.25">
      <c r="A4" s="6" t="s">
        <v>20</v>
      </c>
      <c r="B4" s="7">
        <v>222.6</v>
      </c>
      <c r="C4" s="8">
        <v>0.1</v>
      </c>
      <c r="D4" s="10">
        <f t="shared" ref="D4:D11" si="1">B4*C4</f>
        <v>22.26</v>
      </c>
      <c r="E4" s="10">
        <f t="shared" si="0"/>
        <v>200.34</v>
      </c>
    </row>
    <row r="5" spans="1:5" x14ac:dyDescent="0.25">
      <c r="A5" s="6" t="s">
        <v>21</v>
      </c>
      <c r="B5" s="7">
        <v>168.3</v>
      </c>
      <c r="C5" s="8">
        <v>0.1</v>
      </c>
      <c r="D5" s="10">
        <f t="shared" si="1"/>
        <v>16.830000000000002</v>
      </c>
      <c r="E5" s="10">
        <f t="shared" si="0"/>
        <v>151.47</v>
      </c>
    </row>
    <row r="6" spans="1:5" x14ac:dyDescent="0.25">
      <c r="A6" s="6" t="s">
        <v>22</v>
      </c>
      <c r="B6" s="7">
        <v>56.4</v>
      </c>
      <c r="C6" s="8">
        <v>0.1</v>
      </c>
      <c r="D6" s="10">
        <f t="shared" si="1"/>
        <v>5.6400000000000006</v>
      </c>
      <c r="E6" s="10">
        <f t="shared" si="0"/>
        <v>50.76</v>
      </c>
    </row>
    <row r="7" spans="1:5" x14ac:dyDescent="0.25">
      <c r="A7" s="6" t="s">
        <v>23</v>
      </c>
      <c r="B7" s="7">
        <v>658.3</v>
      </c>
      <c r="C7" s="8">
        <v>0.1</v>
      </c>
      <c r="D7" s="10">
        <f t="shared" si="1"/>
        <v>65.83</v>
      </c>
      <c r="E7" s="10">
        <f t="shared" si="0"/>
        <v>592.46999999999991</v>
      </c>
    </row>
    <row r="8" spans="1:5" x14ac:dyDescent="0.25">
      <c r="A8" s="6" t="s">
        <v>24</v>
      </c>
      <c r="B8" s="7">
        <v>220</v>
      </c>
      <c r="C8" s="8">
        <v>0.1</v>
      </c>
      <c r="D8" s="10">
        <f t="shared" si="1"/>
        <v>22</v>
      </c>
      <c r="E8" s="10">
        <f t="shared" si="0"/>
        <v>198</v>
      </c>
    </row>
    <row r="9" spans="1:5" x14ac:dyDescent="0.25">
      <c r="A9" s="6" t="s">
        <v>25</v>
      </c>
      <c r="B9" s="7">
        <v>124.2</v>
      </c>
      <c r="C9" s="8">
        <v>0.1</v>
      </c>
      <c r="D9" s="10">
        <f t="shared" si="1"/>
        <v>12.420000000000002</v>
      </c>
      <c r="E9" s="10">
        <f t="shared" si="0"/>
        <v>111.78</v>
      </c>
    </row>
    <row r="10" spans="1:5" x14ac:dyDescent="0.25">
      <c r="A10" s="6" t="s">
        <v>26</v>
      </c>
      <c r="B10" s="7">
        <v>457.9</v>
      </c>
      <c r="C10" s="8">
        <v>0.1</v>
      </c>
      <c r="D10" s="10">
        <f t="shared" si="1"/>
        <v>45.79</v>
      </c>
      <c r="E10" s="10">
        <f t="shared" si="0"/>
        <v>412.10999999999996</v>
      </c>
    </row>
    <row r="11" spans="1:5" x14ac:dyDescent="0.25">
      <c r="A11" s="6" t="s">
        <v>27</v>
      </c>
      <c r="B11" s="7">
        <v>899.7</v>
      </c>
      <c r="C11" s="8">
        <v>0.1</v>
      </c>
      <c r="D11" s="10">
        <f t="shared" si="1"/>
        <v>89.970000000000013</v>
      </c>
      <c r="E11" s="10">
        <f t="shared" si="0"/>
        <v>809.73</v>
      </c>
    </row>
    <row r="12" spans="1:5" x14ac:dyDescent="0.25">
      <c r="D12" s="11" t="str">
        <f ca="1">_xlfn.FORMULATEXT(D2)</f>
        <v>=B2*C2</v>
      </c>
      <c r="E12" s="11" t="str">
        <f ca="1">_xlfn.FORMULATEXT(E2)</f>
        <v>=B2-D2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0E2A1-124C-4F7D-A5F4-6C4EA22BB595}">
  <dimension ref="A1:D11"/>
  <sheetViews>
    <sheetView showGridLines="0" zoomScale="240" zoomScaleNormal="240" workbookViewId="0">
      <selection activeCell="C2" sqref="C2:C11"/>
    </sheetView>
  </sheetViews>
  <sheetFormatPr defaultRowHeight="15" x14ac:dyDescent="0.25"/>
  <cols>
    <col min="1" max="1" width="19.28515625" bestFit="1" customWidth="1"/>
    <col min="2" max="2" width="12.42578125" customWidth="1"/>
    <col min="4" max="4" width="10.7109375" bestFit="1" customWidth="1"/>
  </cols>
  <sheetData>
    <row r="1" spans="1:4" x14ac:dyDescent="0.25">
      <c r="A1" s="9" t="s">
        <v>13</v>
      </c>
      <c r="B1" s="9" t="s">
        <v>14</v>
      </c>
      <c r="C1" s="9" t="s">
        <v>15</v>
      </c>
      <c r="D1" s="9" t="s">
        <v>17</v>
      </c>
    </row>
    <row r="2" spans="1:4" x14ac:dyDescent="0.25">
      <c r="A2" s="6" t="s">
        <v>18</v>
      </c>
      <c r="B2" s="7">
        <v>99.9</v>
      </c>
      <c r="C2" s="8">
        <v>0.15</v>
      </c>
      <c r="D2" s="10">
        <f>B2-B2*C2</f>
        <v>84.915000000000006</v>
      </c>
    </row>
    <row r="3" spans="1:4" x14ac:dyDescent="0.25">
      <c r="A3" s="6" t="s">
        <v>19</v>
      </c>
      <c r="B3" s="7">
        <v>158.69999999999999</v>
      </c>
      <c r="C3" s="8">
        <v>0.15</v>
      </c>
      <c r="D3" s="10">
        <f>B3-B3*C3</f>
        <v>134.89499999999998</v>
      </c>
    </row>
    <row r="4" spans="1:4" x14ac:dyDescent="0.25">
      <c r="A4" s="6" t="s">
        <v>20</v>
      </c>
      <c r="B4" s="7">
        <v>222.6</v>
      </c>
      <c r="C4" s="8">
        <v>0.15</v>
      </c>
      <c r="D4" s="10">
        <f t="shared" ref="D4:D11" si="0">B4-B4*C4</f>
        <v>189.20999999999998</v>
      </c>
    </row>
    <row r="5" spans="1:4" x14ac:dyDescent="0.25">
      <c r="A5" s="6" t="s">
        <v>21</v>
      </c>
      <c r="B5" s="7">
        <v>168.3</v>
      </c>
      <c r="C5" s="8">
        <v>0.15</v>
      </c>
      <c r="D5" s="10">
        <f t="shared" si="0"/>
        <v>143.05500000000001</v>
      </c>
    </row>
    <row r="6" spans="1:4" x14ac:dyDescent="0.25">
      <c r="A6" s="6" t="s">
        <v>22</v>
      </c>
      <c r="B6" s="7">
        <v>56.4</v>
      </c>
      <c r="C6" s="8">
        <v>0.15</v>
      </c>
      <c r="D6" s="10">
        <f t="shared" si="0"/>
        <v>47.94</v>
      </c>
    </row>
    <row r="7" spans="1:4" x14ac:dyDescent="0.25">
      <c r="A7" s="6" t="s">
        <v>23</v>
      </c>
      <c r="B7" s="7">
        <v>658.3</v>
      </c>
      <c r="C7" s="8">
        <v>0.15</v>
      </c>
      <c r="D7" s="10">
        <f t="shared" si="0"/>
        <v>559.55499999999995</v>
      </c>
    </row>
    <row r="8" spans="1:4" x14ac:dyDescent="0.25">
      <c r="A8" s="6" t="s">
        <v>24</v>
      </c>
      <c r="B8" s="7">
        <v>220</v>
      </c>
      <c r="C8" s="8">
        <v>0.15</v>
      </c>
      <c r="D8" s="10">
        <f t="shared" si="0"/>
        <v>187</v>
      </c>
    </row>
    <row r="9" spans="1:4" x14ac:dyDescent="0.25">
      <c r="A9" s="6" t="s">
        <v>25</v>
      </c>
      <c r="B9" s="7">
        <v>124.2</v>
      </c>
      <c r="C9" s="8">
        <v>0.15</v>
      </c>
      <c r="D9" s="10">
        <f t="shared" si="0"/>
        <v>105.57000000000001</v>
      </c>
    </row>
    <row r="10" spans="1:4" x14ac:dyDescent="0.25">
      <c r="A10" s="6" t="s">
        <v>26</v>
      </c>
      <c r="B10" s="7">
        <v>457.9</v>
      </c>
      <c r="C10" s="8">
        <v>0.15</v>
      </c>
      <c r="D10" s="10">
        <f t="shared" si="0"/>
        <v>389.21499999999997</v>
      </c>
    </row>
    <row r="11" spans="1:4" x14ac:dyDescent="0.25">
      <c r="A11" s="6" t="s">
        <v>27</v>
      </c>
      <c r="B11" s="7">
        <v>899.7</v>
      </c>
      <c r="C11" s="8">
        <v>0.15</v>
      </c>
      <c r="D11" s="10">
        <f t="shared" si="0"/>
        <v>764.745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DAFCB-9199-4D03-B20C-2C378EE425EC}">
  <dimension ref="A1:E12"/>
  <sheetViews>
    <sheetView showGridLines="0" zoomScale="240" zoomScaleNormal="240" workbookViewId="0">
      <selection activeCell="C13" sqref="C13"/>
    </sheetView>
  </sheetViews>
  <sheetFormatPr defaultRowHeight="15" x14ac:dyDescent="0.25"/>
  <cols>
    <col min="1" max="1" width="19.28515625" bestFit="1" customWidth="1"/>
    <col min="2" max="2" width="12.42578125" customWidth="1"/>
    <col min="3" max="3" width="10.7109375" bestFit="1" customWidth="1"/>
    <col min="5" max="5" width="11.28515625" bestFit="1" customWidth="1"/>
  </cols>
  <sheetData>
    <row r="1" spans="1:5" x14ac:dyDescent="0.25">
      <c r="A1" s="9" t="s">
        <v>13</v>
      </c>
      <c r="B1" s="9" t="s">
        <v>14</v>
      </c>
      <c r="C1" s="9" t="s">
        <v>17</v>
      </c>
      <c r="E1" s="9" t="s">
        <v>28</v>
      </c>
    </row>
    <row r="2" spans="1:5" x14ac:dyDescent="0.25">
      <c r="A2" s="6" t="s">
        <v>18</v>
      </c>
      <c r="B2" s="7">
        <v>99.9</v>
      </c>
      <c r="C2" s="10">
        <f>B2-B2*$E$2</f>
        <v>84.915000000000006</v>
      </c>
      <c r="E2" s="8">
        <v>0.15</v>
      </c>
    </row>
    <row r="3" spans="1:5" x14ac:dyDescent="0.25">
      <c r="A3" s="6" t="s">
        <v>19</v>
      </c>
      <c r="B3" s="7">
        <v>158.69999999999999</v>
      </c>
      <c r="C3" s="10">
        <f t="shared" ref="C3:C11" si="0">B3-B3*$E$2</f>
        <v>134.89499999999998</v>
      </c>
    </row>
    <row r="4" spans="1:5" x14ac:dyDescent="0.25">
      <c r="A4" s="6" t="s">
        <v>20</v>
      </c>
      <c r="B4" s="7">
        <v>222.6</v>
      </c>
      <c r="C4" s="10">
        <f t="shared" si="0"/>
        <v>189.20999999999998</v>
      </c>
    </row>
    <row r="5" spans="1:5" x14ac:dyDescent="0.25">
      <c r="A5" s="6" t="s">
        <v>21</v>
      </c>
      <c r="B5" s="7">
        <v>168.3</v>
      </c>
      <c r="C5" s="10">
        <f t="shared" si="0"/>
        <v>143.05500000000001</v>
      </c>
    </row>
    <row r="6" spans="1:5" x14ac:dyDescent="0.25">
      <c r="A6" s="6" t="s">
        <v>22</v>
      </c>
      <c r="B6" s="7">
        <v>56.4</v>
      </c>
      <c r="C6" s="10">
        <f t="shared" si="0"/>
        <v>47.94</v>
      </c>
    </row>
    <row r="7" spans="1:5" x14ac:dyDescent="0.25">
      <c r="A7" s="6" t="s">
        <v>23</v>
      </c>
      <c r="B7" s="7">
        <v>658.3</v>
      </c>
      <c r="C7" s="10">
        <f t="shared" si="0"/>
        <v>559.55499999999995</v>
      </c>
    </row>
    <row r="8" spans="1:5" x14ac:dyDescent="0.25">
      <c r="A8" s="6" t="s">
        <v>24</v>
      </c>
      <c r="B8" s="7">
        <v>220</v>
      </c>
      <c r="C8" s="10">
        <f t="shared" si="0"/>
        <v>187</v>
      </c>
    </row>
    <row r="9" spans="1:5" x14ac:dyDescent="0.25">
      <c r="A9" s="6" t="s">
        <v>25</v>
      </c>
      <c r="B9" s="7">
        <v>124.2</v>
      </c>
      <c r="C9" s="10">
        <f t="shared" si="0"/>
        <v>105.57000000000001</v>
      </c>
    </row>
    <row r="10" spans="1:5" x14ac:dyDescent="0.25">
      <c r="A10" s="6" t="s">
        <v>26</v>
      </c>
      <c r="B10" s="7">
        <v>457.9</v>
      </c>
      <c r="C10" s="10">
        <f t="shared" si="0"/>
        <v>389.21499999999997</v>
      </c>
    </row>
    <row r="11" spans="1:5" x14ac:dyDescent="0.25">
      <c r="A11" s="6" t="s">
        <v>27</v>
      </c>
      <c r="B11" s="7">
        <v>899.7</v>
      </c>
      <c r="C11" s="10">
        <f t="shared" si="0"/>
        <v>764.745</v>
      </c>
    </row>
    <row r="12" spans="1:5" x14ac:dyDescent="0.25">
      <c r="C12" s="4" t="str">
        <f ca="1">_xlfn.FORMULATEXT(C2)</f>
        <v>=B2-B2*$E$2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A8CE3-F1DD-41F4-9DEB-94563AC60A21}">
  <dimension ref="A1:F15"/>
  <sheetViews>
    <sheetView showGridLines="0" tabSelected="1" topLeftCell="A2" zoomScale="220" zoomScaleNormal="220" workbookViewId="0">
      <selection activeCell="F3" sqref="F3"/>
    </sheetView>
  </sheetViews>
  <sheetFormatPr defaultRowHeight="15" x14ac:dyDescent="0.25"/>
  <cols>
    <col min="1" max="1" width="19.5703125" style="12" bestFit="1" customWidth="1"/>
    <col min="2" max="3" width="9.140625" style="12"/>
    <col min="4" max="4" width="13.7109375" style="12" bestFit="1" customWidth="1"/>
    <col min="5" max="5" width="9.140625" style="12"/>
    <col min="6" max="6" width="12.42578125" style="12" bestFit="1" customWidth="1"/>
    <col min="7" max="16384" width="9.140625" style="12"/>
  </cols>
  <sheetData>
    <row r="1" spans="1:6" x14ac:dyDescent="0.25">
      <c r="A1" s="15" t="s">
        <v>29</v>
      </c>
      <c r="B1" s="15"/>
      <c r="C1" s="15"/>
      <c r="D1" s="15"/>
      <c r="E1" s="15"/>
      <c r="F1" s="15"/>
    </row>
    <row r="2" spans="1:6" x14ac:dyDescent="0.25">
      <c r="A2" s="9" t="s">
        <v>13</v>
      </c>
      <c r="B2" s="9" t="s">
        <v>30</v>
      </c>
      <c r="C2" s="9" t="s">
        <v>31</v>
      </c>
      <c r="D2" s="9" t="s">
        <v>32</v>
      </c>
      <c r="E2" s="9" t="s">
        <v>33</v>
      </c>
      <c r="F2" s="9" t="s">
        <v>34</v>
      </c>
    </row>
    <row r="3" spans="1:6" x14ac:dyDescent="0.25">
      <c r="A3" s="13" t="s">
        <v>35</v>
      </c>
      <c r="B3" s="13" t="s">
        <v>47</v>
      </c>
      <c r="C3" s="13" t="s">
        <v>50</v>
      </c>
      <c r="D3" s="14">
        <v>12.48</v>
      </c>
      <c r="E3" s="13">
        <v>3</v>
      </c>
      <c r="F3" s="13"/>
    </row>
    <row r="4" spans="1:6" x14ac:dyDescent="0.25">
      <c r="A4" s="13" t="s">
        <v>36</v>
      </c>
      <c r="B4" s="13" t="s">
        <v>47</v>
      </c>
      <c r="C4" s="13" t="s">
        <v>51</v>
      </c>
      <c r="D4" s="14">
        <v>6.6</v>
      </c>
      <c r="E4" s="13">
        <v>1</v>
      </c>
      <c r="F4" s="13"/>
    </row>
    <row r="5" spans="1:6" x14ac:dyDescent="0.25">
      <c r="A5" s="13" t="s">
        <v>37</v>
      </c>
      <c r="B5" s="13" t="s">
        <v>47</v>
      </c>
      <c r="C5" s="13" t="s">
        <v>50</v>
      </c>
      <c r="D5" s="14">
        <v>7.18</v>
      </c>
      <c r="E5" s="13">
        <v>2</v>
      </c>
      <c r="F5" s="13"/>
    </row>
    <row r="6" spans="1:6" x14ac:dyDescent="0.25">
      <c r="A6" s="13" t="s">
        <v>38</v>
      </c>
      <c r="B6" s="13" t="s">
        <v>47</v>
      </c>
      <c r="C6" s="13" t="s">
        <v>52</v>
      </c>
      <c r="D6" s="14">
        <v>6.99</v>
      </c>
      <c r="E6" s="13">
        <v>1</v>
      </c>
      <c r="F6" s="13"/>
    </row>
    <row r="7" spans="1:6" x14ac:dyDescent="0.25">
      <c r="A7" s="13" t="s">
        <v>39</v>
      </c>
      <c r="B7" s="13" t="s">
        <v>47</v>
      </c>
      <c r="C7" s="13" t="s">
        <v>53</v>
      </c>
      <c r="D7" s="14">
        <v>3.49</v>
      </c>
      <c r="E7" s="13">
        <v>5</v>
      </c>
      <c r="F7" s="13"/>
    </row>
    <row r="8" spans="1:6" x14ac:dyDescent="0.25">
      <c r="A8" s="13" t="s">
        <v>40</v>
      </c>
      <c r="B8" s="13" t="s">
        <v>47</v>
      </c>
      <c r="C8" s="13" t="s">
        <v>54</v>
      </c>
      <c r="D8" s="14">
        <v>4.4800000000000004</v>
      </c>
      <c r="E8" s="13">
        <v>3</v>
      </c>
      <c r="F8" s="13"/>
    </row>
    <row r="9" spans="1:6" x14ac:dyDescent="0.25">
      <c r="A9" s="13" t="s">
        <v>41</v>
      </c>
      <c r="B9" s="13" t="s">
        <v>47</v>
      </c>
      <c r="C9" s="13" t="s">
        <v>55</v>
      </c>
      <c r="D9" s="14">
        <v>3.19</v>
      </c>
      <c r="E9" s="13">
        <v>4</v>
      </c>
      <c r="F9" s="13"/>
    </row>
    <row r="10" spans="1:6" x14ac:dyDescent="0.25">
      <c r="A10" s="13" t="s">
        <v>42</v>
      </c>
      <c r="B10" s="13" t="s">
        <v>47</v>
      </c>
      <c r="C10" s="13" t="s">
        <v>56</v>
      </c>
      <c r="D10" s="14">
        <v>2.99</v>
      </c>
      <c r="E10" s="13">
        <v>10</v>
      </c>
      <c r="F10" s="13"/>
    </row>
    <row r="11" spans="1:6" x14ac:dyDescent="0.25">
      <c r="A11" s="13" t="s">
        <v>59</v>
      </c>
      <c r="B11" s="13" t="s">
        <v>48</v>
      </c>
      <c r="C11" s="13" t="s">
        <v>52</v>
      </c>
      <c r="D11" s="14">
        <v>2.58</v>
      </c>
      <c r="E11" s="13">
        <v>9</v>
      </c>
      <c r="F11" s="13"/>
    </row>
    <row r="12" spans="1:6" x14ac:dyDescent="0.25">
      <c r="A12" s="13" t="s">
        <v>43</v>
      </c>
      <c r="B12" s="13" t="s">
        <v>48</v>
      </c>
      <c r="C12" s="13" t="s">
        <v>57</v>
      </c>
      <c r="D12" s="14">
        <v>1.99</v>
      </c>
      <c r="E12" s="13">
        <v>2</v>
      </c>
      <c r="F12" s="13"/>
    </row>
    <row r="13" spans="1:6" x14ac:dyDescent="0.25">
      <c r="A13" s="13" t="s">
        <v>44</v>
      </c>
      <c r="B13" s="13" t="s">
        <v>49</v>
      </c>
      <c r="C13" s="13" t="s">
        <v>57</v>
      </c>
      <c r="D13" s="14">
        <v>6.95</v>
      </c>
      <c r="E13" s="13">
        <v>1</v>
      </c>
      <c r="F13" s="13"/>
    </row>
    <row r="14" spans="1:6" x14ac:dyDescent="0.25">
      <c r="A14" s="13" t="s">
        <v>45</v>
      </c>
      <c r="B14" s="13" t="s">
        <v>49</v>
      </c>
      <c r="C14" s="13" t="s">
        <v>58</v>
      </c>
      <c r="D14" s="14">
        <v>1.19</v>
      </c>
      <c r="E14" s="13">
        <v>1</v>
      </c>
      <c r="F14" s="13"/>
    </row>
    <row r="15" spans="1:6" x14ac:dyDescent="0.25">
      <c r="A15" s="13" t="s">
        <v>46</v>
      </c>
      <c r="B15" s="13" t="s">
        <v>49</v>
      </c>
      <c r="C15" s="13" t="s">
        <v>58</v>
      </c>
      <c r="D15" s="14">
        <v>2.5</v>
      </c>
      <c r="E15" s="13">
        <v>3</v>
      </c>
      <c r="F15" s="13"/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C29282D40039478C81EA9A0D635400" ma:contentTypeVersion="14" ma:contentTypeDescription="Crie um novo documento." ma:contentTypeScope="" ma:versionID="aec60354b10fc9264384ee49319b34bd">
  <xsd:schema xmlns:xsd="http://www.w3.org/2001/XMLSchema" xmlns:xs="http://www.w3.org/2001/XMLSchema" xmlns:p="http://schemas.microsoft.com/office/2006/metadata/properties" xmlns:ns3="49e6ecd5-0829-4404-918c-86024e7a5987" targetNamespace="http://schemas.microsoft.com/office/2006/metadata/properties" ma:root="true" ma:fieldsID="0e79b0216a1cece4e293c6118c8ab971" ns3:_="">
    <xsd:import namespace="49e6ecd5-0829-4404-918c-86024e7a598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OCR" minOccurs="0"/>
                <xsd:element ref="ns3:MediaServiceSearchProperties" minOccurs="0"/>
                <xsd:element ref="ns3:MediaServiceSystemTag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e6ecd5-0829-4404-918c-86024e7a59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9e6ecd5-0829-4404-918c-86024e7a5987" xsi:nil="true"/>
  </documentManagement>
</p:properties>
</file>

<file path=customXml/itemProps1.xml><?xml version="1.0" encoding="utf-8"?>
<ds:datastoreItem xmlns:ds="http://schemas.openxmlformats.org/officeDocument/2006/customXml" ds:itemID="{961A8888-7831-44D5-B72F-D92D1BE2C0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e6ecd5-0829-4404-918c-86024e7a59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AD1FE8-E710-427F-B150-B527082486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C47895-2029-4451-86B2-C21371422D0C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49e6ecd5-0829-4404-918c-86024e7a5987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Formatação de Células</vt:lpstr>
      <vt:lpstr>Desconto 1</vt:lpstr>
      <vt:lpstr>Desconto 2</vt:lpstr>
      <vt:lpstr>Desconto 3</vt:lpstr>
      <vt:lpstr>Lista de Compra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DAVID PEREIRA</dc:creator>
  <cp:lastModifiedBy>EDSON DAVID PEREIRA</cp:lastModifiedBy>
  <cp:lastPrinted>2026-05-05T19:10:15Z</cp:lastPrinted>
  <dcterms:created xsi:type="dcterms:W3CDTF">2026-05-05T16:19:49Z</dcterms:created>
  <dcterms:modified xsi:type="dcterms:W3CDTF">2026-05-07T16:40:24Z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0x01010079C29282D40039478C81EA9A0D635400</vt:lpwstr>
  </property>
</Properties>
</file>